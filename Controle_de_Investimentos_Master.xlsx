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Proventos" sheetId="3" state="visible" r:id="rId3"/>
    <sheet xmlns:r="http://schemas.openxmlformats.org/officeDocument/2006/relationships" name="Movimentações" sheetId="4" state="visible" r:id="rId4"/>
    <sheet xmlns:r="http://schemas.openxmlformats.org/officeDocument/2006/relationships" name="Rebalance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;&quot;R$ 0.00&quot;"/>
    <numFmt numFmtId="165" formatCode="DD/MM/YYYY"/>
  </numFmts>
  <fonts count="9">
    <font>
      <name val="Calibri"/>
      <family val="2"/>
      <color theme="1"/>
      <sz val="11"/>
      <scheme val="minor"/>
    </font>
    <font>
      <name val="Segoe UI"/>
      <b val="1"/>
      <color rgb="000F2537"/>
      <sz val="16"/>
    </font>
    <font>
      <name val="Segoe UI"/>
      <i val="1"/>
      <color rgb="005A6B7C"/>
      <sz val="9"/>
    </font>
    <font>
      <name val="Segoe UI"/>
      <b val="1"/>
      <color rgb="005A6B7C"/>
      <sz val="8"/>
    </font>
    <font>
      <name val="Segoe UI"/>
      <b val="1"/>
      <color rgb="000F2537"/>
      <sz val="12"/>
    </font>
    <font>
      <name val="Segoe UI"/>
      <b val="1"/>
      <color rgb="000F2537"/>
      <sz val="11"/>
    </font>
    <font>
      <name val="Segoe UI"/>
      <b val="1"/>
      <color rgb="00FFFFFF"/>
      <sz val="9"/>
    </font>
    <font>
      <name val="Segoe UI"/>
      <color rgb="001F2937"/>
      <sz val="9"/>
    </font>
    <font>
      <name val="Segoe UI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EAEFF5"/>
        <bgColor rgb="00EAEFF5"/>
      </patternFill>
    </fill>
    <fill>
      <patternFill patternType="solid">
        <fgColor rgb="00FFFFFF"/>
        <bgColor rgb="00FFFFFF"/>
      </patternFill>
    </fill>
    <fill>
      <patternFill patternType="solid">
        <fgColor rgb="000F2537"/>
        <bgColor rgb="000F253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2537"/>
      </top>
      <bottom style="double">
        <color rgb="000F253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8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8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164" fontId="7" fillId="3" borderId="1" pivotButton="0" quotePrefix="0" xfId="0"/>
    <xf numFmtId="10" fontId="7" fillId="3" borderId="1" pivotButton="0" quotePrefix="0" xfId="0"/>
    <xf numFmtId="0" fontId="0" fillId="3" borderId="1" applyAlignment="1" pivotButton="0" quotePrefix="0" xfId="0">
      <alignment horizontal="center"/>
    </xf>
    <xf numFmtId="0" fontId="8" fillId="5" borderId="1" pivotButton="0" quotePrefix="0" xfId="0"/>
    <xf numFmtId="0" fontId="7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10" fontId="7" fillId="5" borderId="1" pivotButton="0" quotePrefix="0" xfId="0"/>
    <xf numFmtId="0" fontId="0" fillId="5" borderId="1" applyAlignment="1" pivotButton="0" quotePrefix="0" xfId="0">
      <alignment horizontal="center"/>
    </xf>
    <xf numFmtId="0" fontId="8" fillId="6" borderId="2" pivotButton="0" quotePrefix="0" xfId="0"/>
    <xf numFmtId="164" fontId="8" fillId="6" borderId="2" pivotButton="0" quotePrefix="0" xfId="0"/>
    <xf numFmtId="10" fontId="8" fillId="6" borderId="2" pivotButton="0" quotePrefix="0" xfId="0"/>
    <xf numFmtId="165" fontId="7" fillId="3" borderId="1" pivotButton="0" quotePrefix="0" xfId="0"/>
    <xf numFmtId="0" fontId="7" fillId="3" borderId="1" applyAlignment="1" pivotButton="0" quotePrefix="0" xfId="0">
      <alignment horizontal="center"/>
    </xf>
    <xf numFmtId="165" fontId="7" fillId="5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Alocação do Patrimônio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Ativos Relevantes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'Dashboard'!$A$20:$A$24</f>
            </numRef>
          </cat>
          <val>
            <numRef>
              <f>'Dashboard'!$C$20:$C$24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" customWidth="1" min="3" max="3"/>
    <col width="24" customWidth="1" min="4" max="4"/>
    <col width="3" customWidth="1" min="5" max="5"/>
    <col width="24" customWidth="1" min="6" max="6"/>
    <col width="3" customWidth="1" min="7" max="7"/>
    <col width="24" customWidth="1" min="8" max="8"/>
  </cols>
  <sheetData>
    <row r="1">
      <c r="A1" s="1" t="inlineStr">
        <is>
          <t>PORTFÓLIO DE INVESTIMENTOS</t>
        </is>
      </c>
    </row>
    <row r="2">
      <c r="A2" s="2" t="inlineStr">
        <is>
          <t>Visão executiva de patrimônio, alocação, rentabilidade e proventos</t>
        </is>
      </c>
    </row>
    <row r="3"/>
    <row r="4">
      <c r="B4" s="3" t="inlineStr">
        <is>
          <t>PATRIMÔNIO ATUAL</t>
        </is>
      </c>
      <c r="D4" s="3" t="inlineStr">
        <is>
          <t>TOTAL INVESTIDO</t>
        </is>
      </c>
      <c r="F4" s="3" t="inlineStr">
        <is>
          <t>LUCRO COTAÇÃO</t>
        </is>
      </c>
      <c r="H4" s="3" t="inlineStr">
        <is>
          <t>RENTABILIDADE %</t>
        </is>
      </c>
    </row>
    <row r="5">
      <c r="B5" s="4">
        <f>Consolidado!G13</f>
        <v/>
      </c>
      <c r="D5" s="4">
        <f>Consolidado!D13</f>
        <v/>
      </c>
      <c r="F5" s="4">
        <f>Consolidado!H13</f>
        <v/>
      </c>
      <c r="H5" s="5">
        <f>Consolidado!I13</f>
        <v/>
      </c>
    </row>
    <row r="6"/>
    <row r="7">
      <c r="B7" s="3" t="inlineStr">
        <is>
          <t>TOTAL PROVENTOS</t>
        </is>
      </c>
      <c r="D7" s="3" t="inlineStr">
        <is>
          <t>RETORNO TOTAL</t>
        </is>
      </c>
      <c r="F7" s="3" t="inlineStr">
        <is>
          <t>YIELD ON COST</t>
        </is>
      </c>
      <c r="H7" s="3" t="inlineStr">
        <is>
          <t>PREÇO DE TETO ALERTA</t>
        </is>
      </c>
    </row>
    <row r="8">
      <c r="B8" s="4">
        <f>SUM(Proventos!G:G)</f>
        <v/>
      </c>
      <c r="D8" s="4">
        <f>Consolidado!K13</f>
        <v/>
      </c>
      <c r="F8" s="5">
        <f>Consolidado!L13</f>
        <v/>
      </c>
      <c r="H8" s="6">
        <f>COUNTIF(Consolidado!M3:M10, "Abaixo do Teto")</f>
        <v/>
      </c>
    </row>
    <row r="9"/>
    <row r="10"/>
    <row r="11">
      <c r="A11" s="7" t="inlineStr">
        <is>
          <t>ALOCAÇÃO POR CLASSE DE ATIVOS</t>
        </is>
      </c>
    </row>
    <row r="12">
      <c r="A12" s="8" t="inlineStr">
        <is>
          <t>Categoria</t>
        </is>
      </c>
      <c r="B12" s="8" t="inlineStr">
        <is>
          <t>Valor Atual (R$)</t>
        </is>
      </c>
      <c r="C12" s="8" t="inlineStr">
        <is>
          <t>% Alocação</t>
        </is>
      </c>
    </row>
    <row r="13">
      <c r="A13" s="9" t="inlineStr">
        <is>
          <t>Ações</t>
        </is>
      </c>
      <c r="B13" s="10">
        <f>SUMIF(Consolidado!B$3:B$10, A13, Consolidado!G$3:G$10)</f>
        <v/>
      </c>
      <c r="C13" s="11">
        <f>B13/$B$5</f>
        <v/>
      </c>
    </row>
    <row r="14">
      <c r="A14" s="9" t="inlineStr">
        <is>
          <t>FIIs</t>
        </is>
      </c>
      <c r="B14" s="10">
        <f>SUMIF(Consolidado!B$3:B$10, A14, Consolidado!G$3:G$10)</f>
        <v/>
      </c>
      <c r="C14" s="11">
        <f>B14/$B$5</f>
        <v/>
      </c>
    </row>
    <row r="15">
      <c r="A15" s="9" t="inlineStr">
        <is>
          <t>Renda Fixa</t>
        </is>
      </c>
      <c r="B15" s="10">
        <f>SUMIF(Consolidado!B$3:B$10, A15, Consolidado!G$3:G$10)</f>
        <v/>
      </c>
      <c r="C15" s="11">
        <f>B15/$B$5</f>
        <v/>
      </c>
    </row>
    <row r="16">
      <c r="A16" s="9" t="inlineStr">
        <is>
          <t>Cripto</t>
        </is>
      </c>
      <c r="B16" s="10">
        <f>SUMIF(Consolidado!B$3:B$10, A16, Consolidado!G$3:G$10)</f>
        <v/>
      </c>
      <c r="C16" s="11">
        <f>B16/$B$5</f>
        <v/>
      </c>
    </row>
    <row r="17"/>
    <row r="18">
      <c r="A18" s="7" t="inlineStr">
        <is>
          <t>TOP ATIVOS POR VALOR DE MERCADO</t>
        </is>
      </c>
    </row>
    <row r="19">
      <c r="A19" s="8" t="inlineStr">
        <is>
          <t>Ativo</t>
        </is>
      </c>
      <c r="B19" s="8" t="inlineStr">
        <is>
          <t>Categoria</t>
        </is>
      </c>
      <c r="C19" s="8" t="inlineStr">
        <is>
          <t>Valor Atual (R$)</t>
        </is>
      </c>
      <c r="D19" s="8" t="inlineStr">
        <is>
          <t>% do Total</t>
        </is>
      </c>
    </row>
    <row r="20">
      <c r="A20" s="12" t="inlineStr">
        <is>
          <t>PETR4</t>
        </is>
      </c>
      <c r="B20" s="9">
        <f>VLOOKUP(A20, Consolidado!A$3:B$10, 2, FALSE)</f>
        <v/>
      </c>
      <c r="C20" s="10">
        <f>VLOOKUP(A20, Consolidado!A$3:G$10, 7, FALSE)</f>
        <v/>
      </c>
      <c r="D20" s="11">
        <f>C20/$B$5</f>
        <v/>
      </c>
    </row>
    <row r="21">
      <c r="A21" s="12" t="inlineStr">
        <is>
          <t>VALE3</t>
        </is>
      </c>
      <c r="B21" s="9">
        <f>VLOOKUP(A21, Consolidado!A$3:B$10, 2, FALSE)</f>
        <v/>
      </c>
      <c r="C21" s="10">
        <f>VLOOKUP(A21, Consolidado!A$3:G$10, 7, FALSE)</f>
        <v/>
      </c>
      <c r="D21" s="11">
        <f>C21/$B$5</f>
        <v/>
      </c>
    </row>
    <row r="22">
      <c r="A22" s="12" t="inlineStr">
        <is>
          <t>MXRF11</t>
        </is>
      </c>
      <c r="B22" s="9">
        <f>VLOOKUP(A22, Consolidado!A$3:B$10, 2, FALSE)</f>
        <v/>
      </c>
      <c r="C22" s="10">
        <f>VLOOKUP(A22, Consolidado!A$3:G$10, 7, FALSE)</f>
        <v/>
      </c>
      <c r="D22" s="11">
        <f>C22/$B$5</f>
        <v/>
      </c>
    </row>
    <row r="23">
      <c r="A23" s="12" t="inlineStr">
        <is>
          <t>HGLG11</t>
        </is>
      </c>
      <c r="B23" s="9">
        <f>VLOOKUP(A23, Consolidado!A$3:B$10, 2, FALSE)</f>
        <v/>
      </c>
      <c r="C23" s="10">
        <f>VLOOKUP(A23, Consolidado!A$3:G$10, 7, FALSE)</f>
        <v/>
      </c>
      <c r="D23" s="11">
        <f>C23/$B$5</f>
        <v/>
      </c>
    </row>
    <row r="24">
      <c r="A24" s="12" t="inlineStr">
        <is>
          <t>Tesouro Selic</t>
        </is>
      </c>
      <c r="B24" s="9">
        <f>VLOOKUP(A24, Consolidado!A$3:B$10, 2, FALSE)</f>
        <v/>
      </c>
      <c r="C24" s="10">
        <f>VLOOKUP(A24, Consolidado!A$3:G$10, 7, FALSE)</f>
        <v/>
      </c>
      <c r="D24" s="11">
        <f>C24/$B$5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20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20" customWidth="1" min="13" max="13"/>
  </cols>
  <sheetData>
    <row r="1">
      <c r="A1" s="1" t="inlineStr">
        <is>
          <t>POSIÇÃO CONSOLIDADA E ANÁLISE DE TETO</t>
        </is>
      </c>
    </row>
    <row r="2">
      <c r="A2" s="13" t="inlineStr">
        <is>
          <t>Ativo</t>
        </is>
      </c>
      <c r="B2" s="13" t="inlineStr">
        <is>
          <t>Categoria</t>
        </is>
      </c>
      <c r="C2" s="13" t="inlineStr">
        <is>
          <t>Qtd. Total</t>
        </is>
      </c>
      <c r="D2" s="13" t="inlineStr">
        <is>
          <t>Total Investido (R$)</t>
        </is>
      </c>
      <c r="E2" s="13" t="inlineStr">
        <is>
          <t>Preço Médio (R$)</t>
        </is>
      </c>
      <c r="F2" s="13" t="inlineStr">
        <is>
          <t>Preço Atual (R$)</t>
        </is>
      </c>
      <c r="G2" s="13" t="inlineStr">
        <is>
          <t>Valor Atual (R$)</t>
        </is>
      </c>
      <c r="H2" s="13" t="inlineStr">
        <is>
          <t>Lucro/Prejuízo (R$)</t>
        </is>
      </c>
      <c r="I2" s="13" t="inlineStr">
        <is>
          <t>Rentab. Cotação (%)</t>
        </is>
      </c>
      <c r="J2" s="13" t="inlineStr">
        <is>
          <t>Proventos (R$)</t>
        </is>
      </c>
      <c r="K2" s="13" t="inlineStr">
        <is>
          <t>Retorno Total (R$)</t>
        </is>
      </c>
      <c r="L2" s="13" t="inlineStr">
        <is>
          <t>Yield on Cost (%)</t>
        </is>
      </c>
      <c r="M2" s="13" t="inlineStr">
        <is>
          <t>Status Preço Teto</t>
        </is>
      </c>
    </row>
    <row r="3">
      <c r="A3" s="14" t="inlineStr">
        <is>
          <t>PETR4</t>
        </is>
      </c>
      <c r="B3" s="15" t="inlineStr">
        <is>
          <t>Ações</t>
        </is>
      </c>
      <c r="C3" s="16">
        <f>SUMIFS(Movimentações!E:E, Movimentações!C:C, A3, Movimentações!B:B, "Compra") - SUMIFS(Movimentações!E:E, Movimentações!C:C, A3, Movimentações!B:B, "Venda")</f>
        <v/>
      </c>
      <c r="D3" s="17">
        <f>SUMIFS(Movimentações!H:H, Movimentações!C:C, A3, Movimentações!B:B, "Compra") - SUMIFS(Movimentações!H:H, Movimentações!C:C, A3, Movimentações!B:B, "Venda")</f>
        <v/>
      </c>
      <c r="E3" s="17">
        <f>IF(C3&gt;0, D3/C3, 0)</f>
        <v/>
      </c>
      <c r="F3" s="17" t="n">
        <v>32.5</v>
      </c>
      <c r="G3" s="17">
        <f>C3*F3</f>
        <v/>
      </c>
      <c r="H3" s="17">
        <f>G3-D3</f>
        <v/>
      </c>
      <c r="I3" s="18">
        <f>IF(D3&gt;0, H3/D3, 0)</f>
        <v/>
      </c>
      <c r="J3" s="17">
        <f>SUMIF(Proventos!D:D, A3, Proventos!G:G)</f>
        <v/>
      </c>
      <c r="K3" s="17">
        <f>H3+J3</f>
        <v/>
      </c>
      <c r="L3" s="18">
        <f>IF(D3&gt;0, J3/D3, 0)</f>
        <v/>
      </c>
      <c r="M3" s="19">
        <f>IF(F3&lt;=35.0, "Abaixo do Teto", "Acima do Teto")</f>
        <v/>
      </c>
    </row>
    <row r="4">
      <c r="A4" s="20" t="inlineStr">
        <is>
          <t>VALE3</t>
        </is>
      </c>
      <c r="B4" s="21" t="inlineStr">
        <is>
          <t>Ações</t>
        </is>
      </c>
      <c r="C4" s="22">
        <f>SUMIFS(Movimentações!E:E, Movimentações!C:C, A4, Movimentações!B:B, "Compra") - SUMIFS(Movimentações!E:E, Movimentações!C:C, A4, Movimentações!B:B, "Venda")</f>
        <v/>
      </c>
      <c r="D4" s="23">
        <f>SUMIFS(Movimentações!H:H, Movimentações!C:C, A4, Movimentações!B:B, "Compra") - SUMIFS(Movimentações!H:H, Movimentações!C:C, A4, Movimentações!B:B, "Venda")</f>
        <v/>
      </c>
      <c r="E4" s="23">
        <f>IF(C4&gt;0, D4/C4, 0)</f>
        <v/>
      </c>
      <c r="F4" s="23" t="n">
        <v>68</v>
      </c>
      <c r="G4" s="23">
        <f>C4*F4</f>
        <v/>
      </c>
      <c r="H4" s="23">
        <f>G4-D4</f>
        <v/>
      </c>
      <c r="I4" s="24">
        <f>IF(D4&gt;0, H4/D4, 0)</f>
        <v/>
      </c>
      <c r="J4" s="23">
        <f>SUMIF(Proventos!D:D, A4, Proventos!G:G)</f>
        <v/>
      </c>
      <c r="K4" s="23">
        <f>H4+J4</f>
        <v/>
      </c>
      <c r="L4" s="24">
        <f>IF(D4&gt;0, J4/D4, 0)</f>
        <v/>
      </c>
      <c r="M4" s="25">
        <f>IF(F4&lt;=65.0, "Abaixo do Teto", "Acima do Teto")</f>
        <v/>
      </c>
    </row>
    <row r="5">
      <c r="A5" s="14" t="inlineStr">
        <is>
          <t>MXRF11</t>
        </is>
      </c>
      <c r="B5" s="15" t="inlineStr">
        <is>
          <t>FIIs</t>
        </is>
      </c>
      <c r="C5" s="16">
        <f>SUMIFS(Movimentações!E:E, Movimentações!C:C, A5, Movimentações!B:B, "Compra") - SUMIFS(Movimentações!E:E, Movimentações!C:C, A5, Movimentações!B:B, "Venda")</f>
        <v/>
      </c>
      <c r="D5" s="17">
        <f>SUMIFS(Movimentações!H:H, Movimentações!C:C, A5, Movimentações!B:B, "Compra") - SUMIFS(Movimentações!H:H, Movimentações!C:C, A5, Movimentações!B:B, "Venda")</f>
        <v/>
      </c>
      <c r="E5" s="17">
        <f>IF(C5&gt;0, D5/C5, 0)</f>
        <v/>
      </c>
      <c r="F5" s="17" t="n">
        <v>10.15</v>
      </c>
      <c r="G5" s="17">
        <f>C5*F5</f>
        <v/>
      </c>
      <c r="H5" s="17">
        <f>G5-D5</f>
        <v/>
      </c>
      <c r="I5" s="18">
        <f>IF(D5&gt;0, H5/D5, 0)</f>
        <v/>
      </c>
      <c r="J5" s="17">
        <f>SUMIF(Proventos!D:D, A5, Proventos!G:G)</f>
        <v/>
      </c>
      <c r="K5" s="17">
        <f>H5+J5</f>
        <v/>
      </c>
      <c r="L5" s="18">
        <f>IF(D5&gt;0, J5/D5, 0)</f>
        <v/>
      </c>
      <c r="M5" s="19">
        <f>IF(F5&lt;=10.5, "Abaixo do Teto", "Acima do Teto")</f>
        <v/>
      </c>
    </row>
    <row r="6">
      <c r="A6" s="20" t="inlineStr">
        <is>
          <t>HGLG11</t>
        </is>
      </c>
      <c r="B6" s="21" t="inlineStr">
        <is>
          <t>FIIs</t>
        </is>
      </c>
      <c r="C6" s="22">
        <f>SUMIFS(Movimentações!E:E, Movimentações!C:C, A6, Movimentações!B:B, "Compra") - SUMIFS(Movimentações!E:E, Movimentações!C:C, A6, Movimentações!B:B, "Venda")</f>
        <v/>
      </c>
      <c r="D6" s="23">
        <f>SUMIFS(Movimentações!H:H, Movimentações!C:C, A6, Movimentações!B:B, "Compra") - SUMIFS(Movimentações!H:H, Movimentações!C:C, A6, Movimentações!B:B, "Venda")</f>
        <v/>
      </c>
      <c r="E6" s="23">
        <f>IF(C6&gt;0, D6/C6, 0)</f>
        <v/>
      </c>
      <c r="F6" s="23" t="n">
        <v>162</v>
      </c>
      <c r="G6" s="23">
        <f>C6*F6</f>
        <v/>
      </c>
      <c r="H6" s="23">
        <f>G6-D6</f>
        <v/>
      </c>
      <c r="I6" s="24">
        <f>IF(D6&gt;0, H6/D6, 0)</f>
        <v/>
      </c>
      <c r="J6" s="23">
        <f>SUMIF(Proventos!D:D, A6, Proventos!G:G)</f>
        <v/>
      </c>
      <c r="K6" s="23">
        <f>H6+J6</f>
        <v/>
      </c>
      <c r="L6" s="24">
        <f>IF(D6&gt;0, J6/D6, 0)</f>
        <v/>
      </c>
      <c r="M6" s="25">
        <f>IF(F6&lt;=160.0, "Abaixo do Teto", "Acima do Teto")</f>
        <v/>
      </c>
    </row>
    <row r="7">
      <c r="A7" s="14" t="inlineStr">
        <is>
          <t>Tesouro Selic</t>
        </is>
      </c>
      <c r="B7" s="15" t="inlineStr">
        <is>
          <t>Renda Fixa</t>
        </is>
      </c>
      <c r="C7" s="16">
        <f>SUMIFS(Movimentações!E:E, Movimentações!C:C, A7, Movimentações!B:B, "Compra") - SUMIFS(Movimentações!E:E, Movimentações!C:C, A7, Movimentações!B:B, "Venda")</f>
        <v/>
      </c>
      <c r="D7" s="17">
        <f>SUMIFS(Movimentações!H:H, Movimentações!C:C, A7, Movimentações!B:B, "Compra") - SUMIFS(Movimentações!H:H, Movimentações!C:C, A7, Movimentações!B:B, "Venda")</f>
        <v/>
      </c>
      <c r="E7" s="17">
        <f>IF(C7&gt;0, D7/C7, 0)</f>
        <v/>
      </c>
      <c r="F7" s="17" t="n">
        <v>10500</v>
      </c>
      <c r="G7" s="17">
        <f>C7*F7</f>
        <v/>
      </c>
      <c r="H7" s="17">
        <f>G7-D7</f>
        <v/>
      </c>
      <c r="I7" s="18">
        <f>IF(D7&gt;0, H7/D7, 0)</f>
        <v/>
      </c>
      <c r="J7" s="17">
        <f>SUMIF(Proventos!D:D, A7, Proventos!G:G)</f>
        <v/>
      </c>
      <c r="K7" s="17">
        <f>H7+J7</f>
        <v/>
      </c>
      <c r="L7" s="18">
        <f>IF(D7&gt;0, J7/D7, 0)</f>
        <v/>
      </c>
      <c r="M7" s="19">
        <f>IF(F7&lt;=11000.0, "Abaixo do Teto", "Acima do Teto")</f>
        <v/>
      </c>
    </row>
    <row r="8">
      <c r="A8" s="20" t="inlineStr">
        <is>
          <t>CDB Itaú 110%</t>
        </is>
      </c>
      <c r="B8" s="21" t="inlineStr">
        <is>
          <t>Renda Fixa</t>
        </is>
      </c>
      <c r="C8" s="22">
        <f>SUMIFS(Movimentações!E:E, Movimentações!C:C, A8, Movimentações!B:B, "Compra") - SUMIFS(Movimentações!E:E, Movimentações!C:C, A8, Movimentações!B:B, "Venda")</f>
        <v/>
      </c>
      <c r="D8" s="23">
        <f>SUMIFS(Movimentações!H:H, Movimentações!C:C, A8, Movimentações!B:B, "Compra") - SUMIFS(Movimentações!H:H, Movimentações!C:C, A8, Movimentações!B:B, "Venda")</f>
        <v/>
      </c>
      <c r="E8" s="23">
        <f>IF(C8&gt;0, D8/C8, 0)</f>
        <v/>
      </c>
      <c r="F8" s="23" t="n">
        <v>5000</v>
      </c>
      <c r="G8" s="23">
        <f>C8*F8</f>
        <v/>
      </c>
      <c r="H8" s="23">
        <f>G8-D8</f>
        <v/>
      </c>
      <c r="I8" s="24">
        <f>IF(D8&gt;0, H8/D8, 0)</f>
        <v/>
      </c>
      <c r="J8" s="23">
        <f>SUMIF(Proventos!D:D, A8, Proventos!G:G)</f>
        <v/>
      </c>
      <c r="K8" s="23">
        <f>H8+J8</f>
        <v/>
      </c>
      <c r="L8" s="24">
        <f>IF(D8&gt;0, J8/D8, 0)</f>
        <v/>
      </c>
      <c r="M8" s="25">
        <f>IF(F8&lt;=5200.0, "Abaixo do Teto", "Acima do Teto")</f>
        <v/>
      </c>
    </row>
    <row r="9">
      <c r="A9" s="14" t="inlineStr">
        <is>
          <t>BTC</t>
        </is>
      </c>
      <c r="B9" s="15" t="inlineStr">
        <is>
          <t>Cripto</t>
        </is>
      </c>
      <c r="C9" s="16">
        <f>SUMIFS(Movimentações!E:E, Movimentações!C:C, A9, Movimentações!B:B, "Compra") - SUMIFS(Movimentações!E:E, Movimentações!C:C, A9, Movimentações!B:B, "Venda")</f>
        <v/>
      </c>
      <c r="D9" s="17">
        <f>SUMIFS(Movimentações!H:H, Movimentações!C:C, A9, Movimentações!B:B, "Compra") - SUMIFS(Movimentações!H:H, Movimentações!C:C, A9, Movimentações!B:B, "Venda")</f>
        <v/>
      </c>
      <c r="E9" s="17">
        <f>IF(C9&gt;0, D9/C9, 0)</f>
        <v/>
      </c>
      <c r="F9" s="17" t="n">
        <v>320000</v>
      </c>
      <c r="G9" s="17">
        <f>C9*F9</f>
        <v/>
      </c>
      <c r="H9" s="17">
        <f>G9-D9</f>
        <v/>
      </c>
      <c r="I9" s="18">
        <f>IF(D9&gt;0, H9/D9, 0)</f>
        <v/>
      </c>
      <c r="J9" s="17">
        <f>SUMIF(Proventos!D:D, A9, Proventos!G:G)</f>
        <v/>
      </c>
      <c r="K9" s="17">
        <f>H9+J9</f>
        <v/>
      </c>
      <c r="L9" s="18">
        <f>IF(D9&gt;0, J9/D9, 0)</f>
        <v/>
      </c>
      <c r="M9" s="19">
        <f>IF(F9&lt;=350000.0, "Abaixo do Teto", "Acima do Teto")</f>
        <v/>
      </c>
    </row>
    <row r="10">
      <c r="A10" s="20" t="inlineStr">
        <is>
          <t>ETH</t>
        </is>
      </c>
      <c r="B10" s="21" t="inlineStr">
        <is>
          <t>Cripto</t>
        </is>
      </c>
      <c r="C10" s="22">
        <f>SUMIFS(Movimentações!E:E, Movimentações!C:C, A10, Movimentações!B:B, "Compra") - SUMIFS(Movimentações!E:E, Movimentações!C:C, A10, Movimentações!B:B, "Venda")</f>
        <v/>
      </c>
      <c r="D10" s="23">
        <f>SUMIFS(Movimentações!H:H, Movimentações!C:C, A10, Movimentações!B:B, "Compra") - SUMIFS(Movimentações!H:H, Movimentações!C:C, A10, Movimentações!B:B, "Venda")</f>
        <v/>
      </c>
      <c r="E10" s="23">
        <f>IF(C10&gt;0, D10/C10, 0)</f>
        <v/>
      </c>
      <c r="F10" s="23" t="n">
        <v>18000</v>
      </c>
      <c r="G10" s="23">
        <f>C10*F10</f>
        <v/>
      </c>
      <c r="H10" s="23">
        <f>G10-D10</f>
        <v/>
      </c>
      <c r="I10" s="24">
        <f>IF(D10&gt;0, H10/D10, 0)</f>
        <v/>
      </c>
      <c r="J10" s="23">
        <f>SUMIF(Proventos!D:D, A10, Proventos!G:G)</f>
        <v/>
      </c>
      <c r="K10" s="23">
        <f>H10+J10</f>
        <v/>
      </c>
      <c r="L10" s="24">
        <f>IF(D10&gt;0, J10/D10, 0)</f>
        <v/>
      </c>
      <c r="M10" s="25">
        <f>IF(F10&lt;=17500.0, "Abaixo do Teto", "Acima do Teto")</f>
        <v/>
      </c>
    </row>
    <row r="11"/>
    <row r="12"/>
    <row r="13">
      <c r="A13" s="26" t="inlineStr">
        <is>
          <t>TOTAL CARTEIRA</t>
        </is>
      </c>
      <c r="B13" s="26" t="n"/>
      <c r="C13" s="26" t="n"/>
      <c r="D13" s="27">
        <f>SUM(D3:D10)</f>
        <v/>
      </c>
      <c r="E13" s="26" t="n"/>
      <c r="F13" s="26" t="n"/>
      <c r="G13" s="27">
        <f>SUM(G3:G10)</f>
        <v/>
      </c>
      <c r="H13" s="27">
        <f>SUM(H3:H10)</f>
        <v/>
      </c>
      <c r="I13" s="28">
        <f>IF(D13&gt;0, H13/D13, 0)</f>
        <v/>
      </c>
      <c r="J13" s="27">
        <f>SUM(J3:J10)</f>
        <v/>
      </c>
      <c r="K13" s="27">
        <f>SUM(K3:K10)</f>
        <v/>
      </c>
      <c r="L13" s="28">
        <f>IF(D13&gt;0, J13/D13, 0)</f>
        <v/>
      </c>
      <c r="M13" s="2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20" customWidth="1" min="7" max="7"/>
  </cols>
  <sheetData>
    <row r="1">
      <c r="A1" s="1" t="inlineStr">
        <is>
          <t>HISTÓRICO DE PROVENTOS RECEBIDOS</t>
        </is>
      </c>
    </row>
    <row r="2">
      <c r="A2" s="8" t="inlineStr">
        <is>
          <t>Data Com</t>
        </is>
      </c>
      <c r="B2" s="8" t="inlineStr">
        <is>
          <t>Data Pagamento</t>
        </is>
      </c>
      <c r="C2" s="8" t="inlineStr">
        <is>
          <t>Tipo Provento</t>
        </is>
      </c>
      <c r="D2" s="8" t="inlineStr">
        <is>
          <t>Ativo</t>
        </is>
      </c>
      <c r="E2" s="8" t="inlineStr">
        <is>
          <t>Qtd. Custódia</t>
        </is>
      </c>
      <c r="F2" s="8" t="inlineStr">
        <is>
          <t>Valor/Cota (R$)</t>
        </is>
      </c>
      <c r="G2" s="8" t="inlineStr">
        <is>
          <t>Total Recebido (R$)</t>
        </is>
      </c>
    </row>
    <row r="3">
      <c r="A3" s="29" t="inlineStr">
        <is>
          <t>2026-01-15</t>
        </is>
      </c>
      <c r="B3" s="29" t="inlineStr">
        <is>
          <t>2026-01-30</t>
        </is>
      </c>
      <c r="C3" s="30" t="inlineStr">
        <is>
          <t>Dividendo</t>
        </is>
      </c>
      <c r="D3" s="14" t="inlineStr">
        <is>
          <t>PETR4</t>
        </is>
      </c>
      <c r="E3" s="16" t="n">
        <v>100</v>
      </c>
      <c r="F3" s="17" t="n">
        <v>1.25</v>
      </c>
      <c r="G3" s="17">
        <f>E3*F3</f>
        <v/>
      </c>
    </row>
    <row r="4">
      <c r="A4" s="31" t="inlineStr">
        <is>
          <t>2026-01-31</t>
        </is>
      </c>
      <c r="B4" s="31" t="inlineStr">
        <is>
          <t>2026-02-15</t>
        </is>
      </c>
      <c r="C4" s="32" t="inlineStr">
        <is>
          <t>Rendimento</t>
        </is>
      </c>
      <c r="D4" s="20" t="inlineStr">
        <is>
          <t>MXRF11</t>
        </is>
      </c>
      <c r="E4" s="22" t="n">
        <v>200</v>
      </c>
      <c r="F4" s="23" t="n">
        <v>0.1</v>
      </c>
      <c r="G4" s="23">
        <f>E4*F4</f>
        <v/>
      </c>
    </row>
    <row r="5">
      <c r="A5" s="29" t="inlineStr">
        <is>
          <t>2026-01-31</t>
        </is>
      </c>
      <c r="B5" s="29" t="inlineStr">
        <is>
          <t>2026-02-15</t>
        </is>
      </c>
      <c r="C5" s="30" t="inlineStr">
        <is>
          <t>Rendimento</t>
        </is>
      </c>
      <c r="D5" s="14" t="inlineStr">
        <is>
          <t>HGLG11</t>
        </is>
      </c>
      <c r="E5" s="16" t="n">
        <v>15</v>
      </c>
      <c r="F5" s="17" t="n">
        <v>1.1</v>
      </c>
      <c r="G5" s="17">
        <f>E5*F5</f>
        <v/>
      </c>
    </row>
    <row r="6">
      <c r="A6" s="31" t="inlineStr">
        <is>
          <t>2026-02-10</t>
        </is>
      </c>
      <c r="B6" s="31" t="inlineStr">
        <is>
          <t>2026-02-28</t>
        </is>
      </c>
      <c r="C6" s="32" t="inlineStr">
        <is>
          <t>JCP</t>
        </is>
      </c>
      <c r="D6" s="20" t="inlineStr">
        <is>
          <t>VALE3</t>
        </is>
      </c>
      <c r="E6" s="22" t="n">
        <v>50</v>
      </c>
      <c r="F6" s="23" t="n">
        <v>2.1</v>
      </c>
      <c r="G6" s="23">
        <f>E6*F6</f>
        <v/>
      </c>
    </row>
    <row r="7">
      <c r="A7" s="29" t="inlineStr">
        <is>
          <t>2026-02-28</t>
        </is>
      </c>
      <c r="B7" s="29" t="inlineStr">
        <is>
          <t>2026-03-15</t>
        </is>
      </c>
      <c r="C7" s="30" t="inlineStr">
        <is>
          <t>Rendimento</t>
        </is>
      </c>
      <c r="D7" s="14" t="inlineStr">
        <is>
          <t>MXRF11</t>
        </is>
      </c>
      <c r="E7" s="16" t="n">
        <v>200</v>
      </c>
      <c r="F7" s="17" t="n">
        <v>0.11</v>
      </c>
      <c r="G7" s="17">
        <f>E7*F7</f>
        <v/>
      </c>
    </row>
    <row r="8">
      <c r="A8" s="31" t="inlineStr">
        <is>
          <t>2026-02-28</t>
        </is>
      </c>
      <c r="B8" s="31" t="inlineStr">
        <is>
          <t>2026-03-15</t>
        </is>
      </c>
      <c r="C8" s="32" t="inlineStr">
        <is>
          <t>Rendimento</t>
        </is>
      </c>
      <c r="D8" s="20" t="inlineStr">
        <is>
          <t>HGLG11</t>
        </is>
      </c>
      <c r="E8" s="22" t="n">
        <v>15</v>
      </c>
      <c r="F8" s="23" t="n">
        <v>1.1</v>
      </c>
      <c r="G8" s="23">
        <f>E8*F8</f>
        <v/>
      </c>
    </row>
    <row r="9">
      <c r="A9" s="26" t="inlineStr">
        <is>
          <t>TOTAL PROVENTOS</t>
        </is>
      </c>
      <c r="B9" s="26" t="n"/>
      <c r="C9" s="26" t="n"/>
      <c r="D9" s="26" t="n"/>
      <c r="E9" s="26" t="n"/>
      <c r="F9" s="26" t="n"/>
      <c r="G9" s="27">
        <f>SUM(G3:G8)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REGISTRO DE OPERAÇÕES DE COMPRA E VENDA</t>
        </is>
      </c>
    </row>
    <row r="2">
      <c r="A2" s="8" t="inlineStr">
        <is>
          <t>Data</t>
        </is>
      </c>
      <c r="B2" s="8" t="inlineStr">
        <is>
          <t>Tipo Operação</t>
        </is>
      </c>
      <c r="C2" s="8" t="inlineStr">
        <is>
          <t>Ativo</t>
        </is>
      </c>
      <c r="D2" s="8" t="inlineStr">
        <is>
          <t>Categoria</t>
        </is>
      </c>
      <c r="E2" s="8" t="inlineStr">
        <is>
          <t>Quantidade</t>
        </is>
      </c>
      <c r="F2" s="8" t="inlineStr">
        <is>
          <t>Preço Unitário (R$)</t>
        </is>
      </c>
      <c r="G2" s="8" t="inlineStr">
        <is>
          <t>Taxas/Corretagem (R$)</t>
        </is>
      </c>
      <c r="H2" s="8" t="inlineStr">
        <is>
          <t>Total Operação (R$)</t>
        </is>
      </c>
    </row>
    <row r="3">
      <c r="A3" s="29" t="inlineStr">
        <is>
          <t>2026-01-10</t>
        </is>
      </c>
      <c r="B3" s="30" t="inlineStr">
        <is>
          <t>Compra</t>
        </is>
      </c>
      <c r="C3" s="14" t="inlineStr">
        <is>
          <t>PETR4</t>
        </is>
      </c>
      <c r="D3" s="15" t="inlineStr">
        <is>
          <t>Ações</t>
        </is>
      </c>
      <c r="E3" s="16" t="n">
        <v>100</v>
      </c>
      <c r="F3" s="17" t="n">
        <v>30</v>
      </c>
      <c r="G3" s="17" t="n">
        <v>2.5</v>
      </c>
      <c r="H3" s="17">
        <f>(E3*F3)+G3</f>
        <v/>
      </c>
    </row>
    <row r="4">
      <c r="A4" s="31" t="inlineStr">
        <is>
          <t>2026-01-15</t>
        </is>
      </c>
      <c r="B4" s="32" t="inlineStr">
        <is>
          <t>Compra</t>
        </is>
      </c>
      <c r="C4" s="20" t="inlineStr">
        <is>
          <t>VALE3</t>
        </is>
      </c>
      <c r="D4" s="21" t="inlineStr">
        <is>
          <t>Ações</t>
        </is>
      </c>
      <c r="E4" s="22" t="n">
        <v>50</v>
      </c>
      <c r="F4" s="23" t="n">
        <v>62</v>
      </c>
      <c r="G4" s="23" t="n">
        <v>3</v>
      </c>
      <c r="H4" s="23">
        <f>(E4*F4)+G4</f>
        <v/>
      </c>
    </row>
    <row r="5">
      <c r="A5" s="29" t="inlineStr">
        <is>
          <t>2026-02-01</t>
        </is>
      </c>
      <c r="B5" s="30" t="inlineStr">
        <is>
          <t>Compra</t>
        </is>
      </c>
      <c r="C5" s="14" t="inlineStr">
        <is>
          <t>MXRF11</t>
        </is>
      </c>
      <c r="D5" s="15" t="inlineStr">
        <is>
          <t>FIIs</t>
        </is>
      </c>
      <c r="E5" s="16" t="n">
        <v>200</v>
      </c>
      <c r="F5" s="17" t="n">
        <v>10</v>
      </c>
      <c r="G5" s="17" t="n">
        <v>0</v>
      </c>
      <c r="H5" s="17">
        <f>(E5*F5)+G5</f>
        <v/>
      </c>
    </row>
    <row r="6">
      <c r="A6" s="31" t="inlineStr">
        <is>
          <t>2026-02-05</t>
        </is>
      </c>
      <c r="B6" s="32" t="inlineStr">
        <is>
          <t>Compra</t>
        </is>
      </c>
      <c r="C6" s="20" t="inlineStr">
        <is>
          <t>HGLG11</t>
        </is>
      </c>
      <c r="D6" s="21" t="inlineStr">
        <is>
          <t>FIIs</t>
        </is>
      </c>
      <c r="E6" s="22" t="n">
        <v>15</v>
      </c>
      <c r="F6" s="23" t="n">
        <v>158</v>
      </c>
      <c r="G6" s="23" t="n">
        <v>0</v>
      </c>
      <c r="H6" s="23">
        <f>(E6*F6)+G6</f>
        <v/>
      </c>
    </row>
    <row r="7">
      <c r="A7" s="29" t="inlineStr">
        <is>
          <t>2026-02-10</t>
        </is>
      </c>
      <c r="B7" s="30" t="inlineStr">
        <is>
          <t>Compra</t>
        </is>
      </c>
      <c r="C7" s="14" t="inlineStr">
        <is>
          <t>Tesouro Selic</t>
        </is>
      </c>
      <c r="D7" s="15" t="inlineStr">
        <is>
          <t>Renda Fixa</t>
        </is>
      </c>
      <c r="E7" s="16" t="n">
        <v>1</v>
      </c>
      <c r="F7" s="17" t="n">
        <v>10000</v>
      </c>
      <c r="G7" s="17" t="n">
        <v>0</v>
      </c>
      <c r="H7" s="17">
        <f>(E7*F7)+G7</f>
        <v/>
      </c>
    </row>
    <row r="8">
      <c r="A8" s="31" t="inlineStr">
        <is>
          <t>2026-02-15</t>
        </is>
      </c>
      <c r="B8" s="32" t="inlineStr">
        <is>
          <t>Compra</t>
        </is>
      </c>
      <c r="C8" s="20" t="inlineStr">
        <is>
          <t>CDB Itaú 110%</t>
        </is>
      </c>
      <c r="D8" s="21" t="inlineStr">
        <is>
          <t>Renda Fixa</t>
        </is>
      </c>
      <c r="E8" s="22" t="n">
        <v>1</v>
      </c>
      <c r="F8" s="23" t="n">
        <v>5000</v>
      </c>
      <c r="G8" s="23" t="n">
        <v>0</v>
      </c>
      <c r="H8" s="23">
        <f>(E8*F8)+G8</f>
        <v/>
      </c>
    </row>
    <row r="9">
      <c r="A9" s="29" t="inlineStr">
        <is>
          <t>2026-02-20</t>
        </is>
      </c>
      <c r="B9" s="30" t="inlineStr">
        <is>
          <t>Compra</t>
        </is>
      </c>
      <c r="C9" s="14" t="inlineStr">
        <is>
          <t>BTC</t>
        </is>
      </c>
      <c r="D9" s="15" t="inlineStr">
        <is>
          <t>Cripto</t>
        </is>
      </c>
      <c r="E9" s="16" t="n">
        <v>0.05</v>
      </c>
      <c r="F9" s="17" t="n">
        <v>300000</v>
      </c>
      <c r="G9" s="17" t="n">
        <v>15</v>
      </c>
      <c r="H9" s="17">
        <f>(E9*F9)+G9</f>
        <v/>
      </c>
    </row>
    <row r="10">
      <c r="A10" s="31" t="inlineStr">
        <is>
          <t>2026-02-25</t>
        </is>
      </c>
      <c r="B10" s="32" t="inlineStr">
        <is>
          <t>Compra</t>
        </is>
      </c>
      <c r="C10" s="20" t="inlineStr">
        <is>
          <t>ETH</t>
        </is>
      </c>
      <c r="D10" s="21" t="inlineStr">
        <is>
          <t>Cripto</t>
        </is>
      </c>
      <c r="E10" s="22" t="n">
        <v>0.5</v>
      </c>
      <c r="F10" s="23" t="n">
        <v>17000</v>
      </c>
      <c r="G10" s="23" t="n">
        <v>5</v>
      </c>
      <c r="H10" s="23">
        <f>(E10*F10)+G10</f>
        <v/>
      </c>
    </row>
    <row r="11">
      <c r="A11" s="26" t="inlineStr">
        <is>
          <t>TOTAL OPERADO</t>
        </is>
      </c>
      <c r="B11" s="26" t="n"/>
      <c r="C11" s="26" t="n"/>
      <c r="D11" s="26" t="n"/>
      <c r="E11" s="26" t="n"/>
      <c r="F11" s="26" t="n"/>
      <c r="G11" s="26" t="n"/>
      <c r="H11" s="27">
        <f>SUM(H3:H10)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REBALANCEAMENTO DE CARTEIRA (METAS DE ALOCAÇÃO)</t>
        </is>
      </c>
    </row>
    <row r="2">
      <c r="A2" s="8" t="inlineStr">
        <is>
          <t>Categoria</t>
        </is>
      </c>
      <c r="B2" s="8" t="inlineStr">
        <is>
          <t>Valor Atual (R$)</t>
        </is>
      </c>
      <c r="C2" s="8" t="inlineStr">
        <is>
          <t>% Atual</t>
        </is>
      </c>
      <c r="D2" s="8" t="inlineStr">
        <is>
          <t>% Meta</t>
        </is>
      </c>
      <c r="E2" s="8" t="inlineStr">
        <is>
          <t>Diferença (%)</t>
        </is>
      </c>
      <c r="F2" s="8" t="inlineStr">
        <is>
          <t>Ajuste Sugerido (R$)</t>
        </is>
      </c>
      <c r="G2" s="8" t="inlineStr">
        <is>
          <t>Ação Recomendada</t>
        </is>
      </c>
    </row>
    <row r="3">
      <c r="A3" s="14" t="inlineStr">
        <is>
          <t>Ações</t>
        </is>
      </c>
      <c r="B3" s="17">
        <f>SUMIF(Consolidado!B$3:B$10, A3, Consolidado!G$3:G$10)</f>
        <v/>
      </c>
      <c r="C3" s="18">
        <f>B3/Dashboard!$B$5</f>
        <v/>
      </c>
      <c r="D3" s="18" t="n">
        <v>0.3</v>
      </c>
      <c r="E3" s="18">
        <f>C3-D3</f>
        <v/>
      </c>
      <c r="F3" s="17">
        <f>(D3*Dashboard!$B$5)-B3</f>
        <v/>
      </c>
      <c r="G3" s="19">
        <f>IF(F3&gt;0, "Aportar", IF(F3&lt;0, "Ajustar/Aguardar", "Em Meta"))</f>
        <v/>
      </c>
    </row>
    <row r="4">
      <c r="A4" s="20" t="inlineStr">
        <is>
          <t>FIIs</t>
        </is>
      </c>
      <c r="B4" s="23">
        <f>SUMIF(Consolidado!B$3:B$10, A4, Consolidado!G$3:G$10)</f>
        <v/>
      </c>
      <c r="C4" s="24">
        <f>B4/Dashboard!$B$5</f>
        <v/>
      </c>
      <c r="D4" s="24" t="n">
        <v>0.3</v>
      </c>
      <c r="E4" s="24">
        <f>C4-D4</f>
        <v/>
      </c>
      <c r="F4" s="23">
        <f>(D4*Dashboard!$B$5)-B4</f>
        <v/>
      </c>
      <c r="G4" s="25">
        <f>IF(F4&gt;0, "Aportar", IF(F4&lt;0, "Ajustar/Aguardar", "Em Meta"))</f>
        <v/>
      </c>
    </row>
    <row r="5">
      <c r="A5" s="14" t="inlineStr">
        <is>
          <t>Renda Fixa</t>
        </is>
      </c>
      <c r="B5" s="17">
        <f>SUMIF(Consolidado!B$3:B$10, A5, Consolidado!G$3:G$10)</f>
        <v/>
      </c>
      <c r="C5" s="18">
        <f>B5/Dashboard!$B$5</f>
        <v/>
      </c>
      <c r="D5" s="18" t="n">
        <v>0.3</v>
      </c>
      <c r="E5" s="18">
        <f>C5-D5</f>
        <v/>
      </c>
      <c r="F5" s="17">
        <f>(D5*Dashboard!$B$5)-B5</f>
        <v/>
      </c>
      <c r="G5" s="19">
        <f>IF(F5&gt;0, "Aportar", IF(F5&lt;0, "Ajustar/Aguardar", "Em Meta"))</f>
        <v/>
      </c>
    </row>
    <row r="6">
      <c r="A6" s="20" t="inlineStr">
        <is>
          <t>Cripto</t>
        </is>
      </c>
      <c r="B6" s="23">
        <f>SUMIF(Consolidado!B$3:B$10, A6, Consolidado!G$3:G$10)</f>
        <v/>
      </c>
      <c r="C6" s="24">
        <f>B6/Dashboard!$B$5</f>
        <v/>
      </c>
      <c r="D6" s="24" t="n">
        <v>0.1</v>
      </c>
      <c r="E6" s="24">
        <f>C6-D6</f>
        <v/>
      </c>
      <c r="F6" s="23">
        <f>(D6*Dashboard!$B$5)-B6</f>
        <v/>
      </c>
      <c r="G6" s="25">
        <f>IF(F6&gt;0, "Aportar", IF(F6&lt;0, "Ajustar/Aguardar", "Em Meta"))</f>
        <v/>
      </c>
    </row>
    <row r="7">
      <c r="A7" s="26" t="inlineStr">
        <is>
          <t>TOTAL</t>
        </is>
      </c>
      <c r="B7" s="27">
        <f>SUM(B3:B6)</f>
        <v/>
      </c>
      <c r="C7" s="28">
        <f>SUM(C3:C6)</f>
        <v/>
      </c>
      <c r="D7" s="28">
        <f>SUM(D3:D6)</f>
        <v/>
      </c>
      <c r="E7" s="26" t="n"/>
      <c r="F7" s="26" t="n"/>
      <c r="G7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2026-09-04T12:10:37Z</dcterms:created>
  <dcterms:modified xmlns:dcterms="http://purl.org/dc/terms/" xmlns:xsi="http://www.w3.org/2001/XMLSchema-instance" xsi:type="dcterms:W3CDTF">2026-09-04T12:10:37Z</dcterms:modified>
</cp:coreProperties>
</file>